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VOD" sheetId="1" state="visible" r:id="rId3"/>
    <sheet name="KRAJE_TSK" sheetId="2" state="visible" r:id="rId4"/>
    <sheet name="CISELNIK" sheetId="3" state="visible" r:id="rId5"/>
    <sheet name="POPIS_SLOUPCU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Vyberte typ kódu, který má pole kódu ve vaší polygonové vrstvě krajů.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Název kraje</t>
        </r>
      </text>
    </comment>
    <comment ref="B1" authorId="0">
      <text>
        <r>
          <rPr>
            <sz val="10"/>
            <rFont val="Arial"/>
            <family val="2"/>
          </rPr>
          <t xml:space="preserve">Kód kraje podle typu zvoleného na listu NAVOD (C5)</t>
        </r>
      </text>
    </comment>
    <comment ref="C1" authorId="0">
      <text>
        <r>
          <rPr>
            <sz val="10"/>
            <rFont val="Arial"/>
            <family val="2"/>
          </rPr>
          <t xml:space="preserve">REGISTROVÁNO – počet registrovaných skutků</t>
        </r>
      </text>
    </comment>
    <comment ref="D1" authorId="0">
      <text>
        <r>
          <rPr>
            <sz val="10"/>
            <rFont val="Arial"/>
            <family val="2"/>
          </rPr>
          <t xml:space="preserve">Podíl kraje na součtu TSK za 14 krajů v % (vzorec)</t>
        </r>
      </text>
    </comment>
    <comment ref="E1" authorId="0">
      <text>
        <r>
          <rPr>
            <sz val="10"/>
            <rFont val="Arial"/>
            <family val="2"/>
          </rPr>
          <t xml:space="preserve">OBJASNĚNO – počet (z registrovaných v roce)</t>
        </r>
      </text>
    </comment>
    <comment ref="F1" authorId="0">
      <text>
        <r>
          <rPr>
            <sz val="10"/>
            <rFont val="Arial"/>
            <family val="2"/>
          </rPr>
          <t xml:space="preserve">OBJASNĚNO – objasněnost v % (vzorec OBJ/TSK×100; zdroj uvádí jako zlomek)</t>
        </r>
      </text>
    </comment>
    <comment ref="G1" authorId="0">
      <text>
        <r>
          <rPr>
            <sz val="10"/>
            <rFont val="Arial"/>
            <family val="2"/>
          </rPr>
          <t xml:space="preserve">OBJASNĚNO – spácháno nezletilými 1–14 let</t>
        </r>
      </text>
    </comment>
    <comment ref="H1" authorId="0">
      <text>
        <r>
          <rPr>
            <sz val="10"/>
            <rFont val="Arial"/>
            <family val="2"/>
          </rPr>
          <t xml:space="preserve">OBJASNĚNO – spácháno mladistvými 15–17 let</t>
        </r>
      </text>
    </comment>
    <comment ref="I1" authorId="0">
      <text>
        <r>
          <rPr>
            <sz val="10"/>
            <rFont val="Arial"/>
            <family val="2"/>
          </rPr>
          <t xml:space="preserve">OBJASNĚNO – spácháno dětmi 1–17 let (není součtem nezl.+mlad.)</t>
        </r>
      </text>
    </comment>
    <comment ref="J1" authorId="0">
      <text>
        <r>
          <rPr>
            <sz val="10"/>
            <rFont val="Arial"/>
            <family val="2"/>
          </rPr>
          <t xml:space="preserve">OBJASNĚNO – spácháno opakovaně trestanými osobami</t>
        </r>
      </text>
    </comment>
    <comment ref="K1" authorId="0">
      <text>
        <r>
          <rPr>
            <sz val="10"/>
            <rFont val="Arial"/>
            <family val="2"/>
          </rPr>
          <t xml:space="preserve">OBJASNĚNO – spácháno cizinci</t>
        </r>
      </text>
    </comment>
    <comment ref="L1" authorId="0">
      <text>
        <r>
          <rPr>
            <sz val="10"/>
            <rFont val="Arial"/>
            <family val="2"/>
          </rPr>
          <t xml:space="preserve">OBJASNĚNO – spácháno pod vlivem</t>
        </r>
      </text>
    </comment>
    <comment ref="M1" authorId="0">
      <text>
        <r>
          <rPr>
            <sz val="10"/>
            <rFont val="Arial"/>
            <family val="2"/>
          </rPr>
          <t xml:space="preserve">OBJASNĚNO – spácháno pod vlivem alkoholu</t>
        </r>
      </text>
    </comment>
    <comment ref="N1" authorId="0">
      <text>
        <r>
          <rPr>
            <sz val="10"/>
            <rFont val="Arial"/>
            <family val="2"/>
          </rPr>
          <t xml:space="preserve">OBJASNĚNO – spácháno firmou</t>
        </r>
      </text>
    </comment>
    <comment ref="O1" authorId="0">
      <text>
        <r>
          <rPr>
            <sz val="10"/>
            <rFont val="Arial"/>
            <family val="2"/>
          </rPr>
          <t xml:space="preserve">OBJASNĚNO DODATEČNĚ – počet (skutky z dřívějších let)</t>
        </r>
      </text>
    </comment>
    <comment ref="P1" authorId="0">
      <text>
        <r>
          <rPr>
            <sz val="10"/>
            <rFont val="Arial"/>
            <family val="2"/>
          </rPr>
          <t xml:space="preserve">OBJASNĚNO CELKEM – počet</t>
        </r>
      </text>
    </comment>
    <comment ref="Q1" authorId="0">
      <text>
        <r>
          <rPr>
            <sz val="10"/>
            <rFont val="Arial"/>
            <family val="2"/>
          </rPr>
          <t xml:space="preserve">OBJASNĚNO CELKEM – spácháno nezletilými 1–14 let</t>
        </r>
      </text>
    </comment>
    <comment ref="R1" authorId="0">
      <text>
        <r>
          <rPr>
            <sz val="10"/>
            <rFont val="Arial"/>
            <family val="2"/>
          </rPr>
          <t xml:space="preserve">OBJASNĚNO CELKEM – spácháno mladistvými 15–17 let</t>
        </r>
      </text>
    </comment>
    <comment ref="S1" authorId="0">
      <text>
        <r>
          <rPr>
            <sz val="10"/>
            <rFont val="Arial"/>
            <family val="2"/>
          </rPr>
          <t xml:space="preserve">OBJASNĚNO CELKEM – spácháno dětmi 1–17 let</t>
        </r>
      </text>
    </comment>
    <comment ref="T1" authorId="0">
      <text>
        <r>
          <rPr>
            <sz val="10"/>
            <rFont val="Arial"/>
            <family val="2"/>
          </rPr>
          <t xml:space="preserve">OBJASNĚNO CELKEM – spácháno opakovaně trestanými osobami</t>
        </r>
      </text>
    </comment>
    <comment ref="U1" authorId="0">
      <text>
        <r>
          <rPr>
            <sz val="10"/>
            <rFont val="Arial"/>
            <family val="2"/>
          </rPr>
          <t xml:space="preserve">OBJASNĚNO CELKEM – spácháno cizinci</t>
        </r>
      </text>
    </comment>
    <comment ref="V1" authorId="0">
      <text>
        <r>
          <rPr>
            <sz val="10"/>
            <rFont val="Arial"/>
            <family val="2"/>
          </rPr>
          <t xml:space="preserve">OBJASNĚNO CELKEM – spácháno pod vlivem</t>
        </r>
      </text>
    </comment>
    <comment ref="W1" authorId="0">
      <text>
        <r>
          <rPr>
            <sz val="10"/>
            <rFont val="Arial"/>
            <family val="2"/>
          </rPr>
          <t xml:space="preserve">OBJASNĚNO CELKEM – spácháno pod vlivem alkoholu</t>
        </r>
      </text>
    </comment>
    <comment ref="X1" authorId="0">
      <text>
        <r>
          <rPr>
            <sz val="10"/>
            <rFont val="Arial"/>
            <family val="2"/>
          </rPr>
          <t xml:space="preserve">OBJASNĚNO CELKEM – spácháno firmou</t>
        </r>
      </text>
    </comment>
    <comment ref="Y1" authorId="0">
      <text>
        <r>
          <rPr>
            <sz val="10"/>
            <rFont val="Arial"/>
            <family val="2"/>
          </rPr>
          <t xml:space="preserve">Škoda celkem v tisících Kč</t>
        </r>
      </text>
    </comment>
    <comment ref="Z1" authorId="0">
      <text>
        <r>
          <rPr>
            <sz val="10"/>
            <rFont val="Arial"/>
            <family val="2"/>
          </rPr>
          <t xml:space="preserve">Zajištěné hodnoty na místě TČ v tisících Kč</t>
        </r>
      </text>
    </comment>
  </commentList>
</comments>
</file>

<file path=xl/sharedStrings.xml><?xml version="1.0" encoding="utf-8"?>
<sst xmlns="http://schemas.openxmlformats.org/spreadsheetml/2006/main" count="243" uniqueCount="200">
  <si>
    <t xml:space="preserve">Kriminalita v krajích ČR – podklad pro kartogram a kartodiagram</t>
  </si>
  <si>
    <t xml:space="preserve">NASTAVENÍ A ÚDAJE</t>
  </si>
  <si>
    <t xml:space="preserve">Typ kódu kraje pro join</t>
  </si>
  <si>
    <t xml:space="preserve">KOD_NUTS3</t>
  </si>
  <si>
    <t xml:space="preserve">Zvolený ukazatel TSK</t>
  </si>
  <si>
    <t xml:space="preserve">511 – podvod (§ 209)</t>
  </si>
  <si>
    <t xml:space="preserve">Důvod výběru</t>
  </si>
  <si>
    <t xml:space="preserve">TSK s nejvyšším počtem registrovaných skutků v ČR (mimo souhrnné řádky)</t>
  </si>
  <si>
    <t xml:space="preserve">Období dat</t>
  </si>
  <si>
    <t xml:space="preserve">1. 1. – 31. 12. 2025</t>
  </si>
  <si>
    <t xml:space="preserve">Celkem ČR – registrováno (list Česká republika)</t>
  </si>
  <si>
    <t xml:space="preserve">KONTROLY</t>
  </si>
  <si>
    <t xml:space="preserve">Součet TSK za 14 krajů</t>
  </si>
  <si>
    <t xml:space="preserve">Rozdíl proti celku ČR (má být 0)</t>
  </si>
  <si>
    <t xml:space="preserve">Součet PODIL_TSK (má být 100)</t>
  </si>
  <si>
    <t xml:space="preserve">POUŽITÍ V GIS</t>
  </si>
  <si>
    <t xml:space="preserve">1. V C5 zvolte typ kódu, který má vaše vrstva krajů (podívejte se do atributové tabulky); KOD_KRAJE se přepočítá.</t>
  </si>
  <si>
    <t xml:space="preserve">2. Připojte list KRAJE_TSK k vrstvě krajů přes KOD_KRAJE. Datový typ musí sedět (text vs. číslo).</t>
  </si>
  <si>
    <t xml:space="preserve">3. Kartogram = PODIL_TSK (relativní hodnota), kartodiagram = TSK (absolutní počet).</t>
  </si>
  <si>
    <t xml:space="preserve">4. Význam všech zkrácených názvů polí je na listu POPIS_SLOUPCU (názvy mají max. 10 znaků kvůli shapefile).</t>
  </si>
  <si>
    <t xml:space="preserve">5. List KRAJE_TSK nechte bez dalších řádků a poznámek – GIS čte celý list jako tabulku.</t>
  </si>
  <si>
    <t xml:space="preserve">Zdroj: Policie ČR – Statistické přehledy kriminality, soubor 2025_12_Prosinec_sest_01a.xlsx (sestava 01a, kumulativ za rok 2025), řádek TSK 511.</t>
  </si>
  <si>
    <t xml:space="preserve">Legenda: modré písmo = hodnoty převzaté ze zdroje; černé = vzorce; žlutá buňka = volba uživatele.</t>
  </si>
  <si>
    <t xml:space="preserve">NAZEV</t>
  </si>
  <si>
    <t xml:space="preserve">KOD_KRAJE</t>
  </si>
  <si>
    <t xml:space="preserve">TSK</t>
  </si>
  <si>
    <t xml:space="preserve">PODIL_TSK</t>
  </si>
  <si>
    <t xml:space="preserve">OBJ</t>
  </si>
  <si>
    <t xml:space="preserve">OBJ_PCT</t>
  </si>
  <si>
    <t xml:space="preserve">OBJ_NEZL</t>
  </si>
  <si>
    <t xml:space="preserve">OBJ_MLAD</t>
  </si>
  <si>
    <t xml:space="preserve">OBJ_DETI</t>
  </si>
  <si>
    <t xml:space="preserve">OBJ_RECID</t>
  </si>
  <si>
    <t xml:space="preserve">OBJ_CIZ</t>
  </si>
  <si>
    <t xml:space="preserve">OBJ_VLIV</t>
  </si>
  <si>
    <t xml:space="preserve">OBJ_ALK</t>
  </si>
  <si>
    <t xml:space="preserve">OBJ_FIRMA</t>
  </si>
  <si>
    <t xml:space="preserve">OBJ_DODAT</t>
  </si>
  <si>
    <t xml:space="preserve">OBJC</t>
  </si>
  <si>
    <t xml:space="preserve">OBJC_NEZL</t>
  </si>
  <si>
    <t xml:space="preserve">OBJC_MLAD</t>
  </si>
  <si>
    <t xml:space="preserve">OBJC_DETI</t>
  </si>
  <si>
    <t xml:space="preserve">OBJC_RECID</t>
  </si>
  <si>
    <t xml:space="preserve">OBJC_CIZ</t>
  </si>
  <si>
    <t xml:space="preserve">OBJC_VLIV</t>
  </si>
  <si>
    <t xml:space="preserve">OBJC_ALK</t>
  </si>
  <si>
    <t xml:space="preserve">OBJC_FIRMA</t>
  </si>
  <si>
    <t xml:space="preserve">SKODA_TIS</t>
  </si>
  <si>
    <t xml:space="preserve">ZAJIST_TIS</t>
  </si>
  <si>
    <t xml:space="preserve">Hlavní město Praha</t>
  </si>
  <si>
    <t xml:space="preserve">Středočeský kraj</t>
  </si>
  <si>
    <t xml:space="preserve">Jihočeský kraj</t>
  </si>
  <si>
    <t xml:space="preserve">Plzeňský kraj</t>
  </si>
  <si>
    <t xml:space="preserve">Karlovarský kraj</t>
  </si>
  <si>
    <t xml:space="preserve">Ústecký kraj</t>
  </si>
  <si>
    <t xml:space="preserve">Liberecký kraj</t>
  </si>
  <si>
    <t xml:space="preserve">Královéhradecký kraj</t>
  </si>
  <si>
    <t xml:space="preserve">Pardubický kraj</t>
  </si>
  <si>
    <t xml:space="preserve">Kraj Vysočina</t>
  </si>
  <si>
    <t xml:space="preserve">Jihomoravský kraj</t>
  </si>
  <si>
    <t xml:space="preserve">Olomoucký kraj</t>
  </si>
  <si>
    <t xml:space="preserve">Zlínský kraj</t>
  </si>
  <si>
    <t xml:space="preserve">Moravskoslezský kraj</t>
  </si>
  <si>
    <t xml:space="preserve">KOD_CSU</t>
  </si>
  <si>
    <t xml:space="preserve">KOD_RUIAN</t>
  </si>
  <si>
    <t xml:space="preserve">KOD_ISO</t>
  </si>
  <si>
    <t xml:space="preserve">NAZEV_KRP</t>
  </si>
  <si>
    <t xml:space="preserve">CISLO_KRP</t>
  </si>
  <si>
    <t xml:space="preserve">LIST_ZDROJ</t>
  </si>
  <si>
    <t xml:space="preserve">CZ010</t>
  </si>
  <si>
    <t xml:space="preserve">CZ-10</t>
  </si>
  <si>
    <t xml:space="preserve">KŘP hl. m. Prahy</t>
  </si>
  <si>
    <t xml:space="preserve">00</t>
  </si>
  <si>
    <t xml:space="preserve">Praha</t>
  </si>
  <si>
    <t xml:space="preserve">CZ020</t>
  </si>
  <si>
    <t xml:space="preserve">CZ-20</t>
  </si>
  <si>
    <t xml:space="preserve">KŘP Středočeského kraje</t>
  </si>
  <si>
    <t xml:space="preserve">01</t>
  </si>
  <si>
    <t xml:space="preserve">Středočeský</t>
  </si>
  <si>
    <t xml:space="preserve">CZ031</t>
  </si>
  <si>
    <t xml:space="preserve">CZ-31</t>
  </si>
  <si>
    <t xml:space="preserve">KŘP Jihočeského kraje</t>
  </si>
  <si>
    <t xml:space="preserve">02</t>
  </si>
  <si>
    <t xml:space="preserve">Jihočeský</t>
  </si>
  <si>
    <t xml:space="preserve">CZ032</t>
  </si>
  <si>
    <t xml:space="preserve">CZ-32</t>
  </si>
  <si>
    <t xml:space="preserve">KŘP Plzeňského kraje</t>
  </si>
  <si>
    <t xml:space="preserve">03</t>
  </si>
  <si>
    <t xml:space="preserve">Plzeňský</t>
  </si>
  <si>
    <t xml:space="preserve">CZ041</t>
  </si>
  <si>
    <t xml:space="preserve">CZ-41</t>
  </si>
  <si>
    <t xml:space="preserve">KŘP Karlovarského kraje</t>
  </si>
  <si>
    <t xml:space="preserve">19</t>
  </si>
  <si>
    <t xml:space="preserve">Karlovarský</t>
  </si>
  <si>
    <t xml:space="preserve">CZ042</t>
  </si>
  <si>
    <t xml:space="preserve">CZ-42</t>
  </si>
  <si>
    <t xml:space="preserve">KŘP Ústeckého kraje</t>
  </si>
  <si>
    <t xml:space="preserve">04</t>
  </si>
  <si>
    <t xml:space="preserve">Ústecký</t>
  </si>
  <si>
    <t xml:space="preserve">CZ051</t>
  </si>
  <si>
    <t xml:space="preserve">CZ-51</t>
  </si>
  <si>
    <t xml:space="preserve">KŘP Libereckého kraje</t>
  </si>
  <si>
    <t xml:space="preserve">18</t>
  </si>
  <si>
    <t xml:space="preserve">Liberecký</t>
  </si>
  <si>
    <t xml:space="preserve">CZ052</t>
  </si>
  <si>
    <t xml:space="preserve">CZ-52</t>
  </si>
  <si>
    <t xml:space="preserve">KŘP Královéhradeckého kraje</t>
  </si>
  <si>
    <t xml:space="preserve">05</t>
  </si>
  <si>
    <t xml:space="preserve">Královéhradecký</t>
  </si>
  <si>
    <t xml:space="preserve">CZ053</t>
  </si>
  <si>
    <t xml:space="preserve">CZ-53</t>
  </si>
  <si>
    <t xml:space="preserve">KŘP Pardubického kraje</t>
  </si>
  <si>
    <t xml:space="preserve">17</t>
  </si>
  <si>
    <t xml:space="preserve">Pardubický</t>
  </si>
  <si>
    <t xml:space="preserve">CZ063</t>
  </si>
  <si>
    <t xml:space="preserve">CZ-63</t>
  </si>
  <si>
    <t xml:space="preserve">KŘP kraje Vysočina</t>
  </si>
  <si>
    <t xml:space="preserve">16</t>
  </si>
  <si>
    <t xml:space="preserve">Vysočina</t>
  </si>
  <si>
    <t xml:space="preserve">CZ064</t>
  </si>
  <si>
    <t xml:space="preserve">CZ-64</t>
  </si>
  <si>
    <t xml:space="preserve">KŘP Jihomoravského kraje</t>
  </si>
  <si>
    <t xml:space="preserve">06</t>
  </si>
  <si>
    <t xml:space="preserve">Jihomoravský</t>
  </si>
  <si>
    <t xml:space="preserve">CZ071</t>
  </si>
  <si>
    <t xml:space="preserve">CZ-71</t>
  </si>
  <si>
    <t xml:space="preserve">KŘP Olomouckého kraje</t>
  </si>
  <si>
    <t xml:space="preserve">14</t>
  </si>
  <si>
    <t xml:space="preserve">Olomoucký</t>
  </si>
  <si>
    <t xml:space="preserve">CZ072</t>
  </si>
  <si>
    <t xml:space="preserve">CZ-72</t>
  </si>
  <si>
    <t xml:space="preserve">KŘP Zlínského kraje</t>
  </si>
  <si>
    <t xml:space="preserve">15</t>
  </si>
  <si>
    <t xml:space="preserve">Zlínský</t>
  </si>
  <si>
    <t xml:space="preserve">CZ080</t>
  </si>
  <si>
    <t xml:space="preserve">CZ-80</t>
  </si>
  <si>
    <t xml:space="preserve">KŘP Moravskoslezského kraje</t>
  </si>
  <si>
    <t xml:space="preserve">07</t>
  </si>
  <si>
    <t xml:space="preserve">Moravskoslezský</t>
  </si>
  <si>
    <t xml:space="preserve">Vysvětlivky kódů:</t>
  </si>
  <si>
    <t xml:space="preserve">KOD_NUTS3 – CZ-NUTS 3 (text, např. CZ080); ve vrstvách ArcČR obvykle KOD_CZNUTS3 / NUTS3_KOD.</t>
  </si>
  <si>
    <t xml:space="preserve">KOD_CSU – kód kraje dle číselníku ČSÚ (číslo, např. 3140); ve vrstvách ArcČR obvykle KOD_KRAJ.</t>
  </si>
  <si>
    <t xml:space="preserve">KOD_RUIAN – kód VÚSC v RÚIAN (číslo, např. 132); ve vrstvách z RÚIAN pole KOD / VUSC_KOD.</t>
  </si>
  <si>
    <t xml:space="preserve">KOD_ISO – ISO 3166-2 (text, např. CZ-80).</t>
  </si>
  <si>
    <t xml:space="preserve">NAZEV_KRP, CISLO_KRP – krajské ředitelství policie a jeho číslo v hlavičce policejní sestavy.</t>
  </si>
  <si>
    <t xml:space="preserve">LIST_ZDROJ – název listu ve zdrojovém souboru Policie ČR, odkud jsou data převzata.</t>
  </si>
  <si>
    <t xml:space="preserve">POLE</t>
  </si>
  <si>
    <t xml:space="preserve">PŮVODNÍ SLOUPEC / VÝZNAM</t>
  </si>
  <si>
    <t xml:space="preserve">ZDROJ</t>
  </si>
  <si>
    <t xml:space="preserve">Název kraje</t>
  </si>
  <si>
    <t xml:space="preserve">CISELNIK</t>
  </si>
  <si>
    <t xml:space="preserve">Kód kraje podle typu zvoleného na listu NAVOD (C5)</t>
  </si>
  <si>
    <t xml:space="preserve">vzorec (CISELNIK)</t>
  </si>
  <si>
    <t xml:space="preserve">REGISTROVÁNO – počet registrovaných skutků</t>
  </si>
  <si>
    <t xml:space="preserve">Policie ČR, sloupec C</t>
  </si>
  <si>
    <t xml:space="preserve">Podíl kraje na součtu TSK za 14 krajů v % (vzorec)</t>
  </si>
  <si>
    <t xml:space="preserve">vzorec</t>
  </si>
  <si>
    <t xml:space="preserve">OBJASNĚNO – počet (z registrovaných v roce)</t>
  </si>
  <si>
    <t xml:space="preserve">Policie ČR, sloupec D</t>
  </si>
  <si>
    <t xml:space="preserve">OBJASNĚNO – objasněnost v % (vzorec OBJ/TSK×100; zdroj uvádí jako zlomek)</t>
  </si>
  <si>
    <t xml:space="preserve">OBJASNĚNO – spácháno nezletilými 1–14 let</t>
  </si>
  <si>
    <t xml:space="preserve">Policie ČR, sloupec F</t>
  </si>
  <si>
    <t xml:space="preserve">OBJASNĚNO – spácháno mladistvými 15–17 let</t>
  </si>
  <si>
    <t xml:space="preserve">Policie ČR, sloupec G</t>
  </si>
  <si>
    <t xml:space="preserve">OBJASNĚNO – spácháno dětmi 1–17 let (není součtem nezl.+mlad.)</t>
  </si>
  <si>
    <t xml:space="preserve">Policie ČR, sloupec H</t>
  </si>
  <si>
    <t xml:space="preserve">OBJASNĚNO – spácháno opakovaně trestanými osobami</t>
  </si>
  <si>
    <t xml:space="preserve">Policie ČR, sloupec I</t>
  </si>
  <si>
    <t xml:space="preserve">OBJASNĚNO – spácháno cizinci</t>
  </si>
  <si>
    <t xml:space="preserve">Policie ČR, sloupec J</t>
  </si>
  <si>
    <t xml:space="preserve">OBJASNĚNO – spácháno pod vlivem</t>
  </si>
  <si>
    <t xml:space="preserve">Policie ČR, sloupec K</t>
  </si>
  <si>
    <t xml:space="preserve">OBJASNĚNO – spácháno pod vlivem alkoholu</t>
  </si>
  <si>
    <t xml:space="preserve">Policie ČR, sloupec L</t>
  </si>
  <si>
    <t xml:space="preserve">OBJASNĚNO – spácháno firmou</t>
  </si>
  <si>
    <t xml:space="preserve">Policie ČR, sloupec M</t>
  </si>
  <si>
    <t xml:space="preserve">OBJASNĚNO DODATEČNĚ – počet (skutky z dřívějších let)</t>
  </si>
  <si>
    <t xml:space="preserve">Policie ČR, sloupec N</t>
  </si>
  <si>
    <t xml:space="preserve">OBJASNĚNO CELKEM – počet</t>
  </si>
  <si>
    <t xml:space="preserve">Policie ČR, sloupec O</t>
  </si>
  <si>
    <t xml:space="preserve">OBJASNĚNO CELKEM – spácháno nezletilými 1–14 let</t>
  </si>
  <si>
    <t xml:space="preserve">Policie ČR, sloupec P</t>
  </si>
  <si>
    <t xml:space="preserve">OBJASNĚNO CELKEM – spácháno mladistvými 15–17 let</t>
  </si>
  <si>
    <t xml:space="preserve">Policie ČR, sloupec Q</t>
  </si>
  <si>
    <t xml:space="preserve">OBJASNĚNO CELKEM – spácháno dětmi 1–17 let</t>
  </si>
  <si>
    <t xml:space="preserve">Policie ČR, sloupec R</t>
  </si>
  <si>
    <t xml:space="preserve">OBJASNĚNO CELKEM – spácháno opakovaně trestanými osobami</t>
  </si>
  <si>
    <t xml:space="preserve">Policie ČR, sloupec S</t>
  </si>
  <si>
    <t xml:space="preserve">OBJASNĚNO CELKEM – spácháno cizinci</t>
  </si>
  <si>
    <t xml:space="preserve">Policie ČR, sloupec T</t>
  </si>
  <si>
    <t xml:space="preserve">OBJASNĚNO CELKEM – spácháno pod vlivem</t>
  </si>
  <si>
    <t xml:space="preserve">Policie ČR, sloupec U</t>
  </si>
  <si>
    <t xml:space="preserve">OBJASNĚNO CELKEM – spácháno pod vlivem alkoholu</t>
  </si>
  <si>
    <t xml:space="preserve">Policie ČR, sloupec V</t>
  </si>
  <si>
    <t xml:space="preserve">OBJASNĚNO CELKEM – spácháno firmou</t>
  </si>
  <si>
    <t xml:space="preserve">Policie ČR, sloupec W</t>
  </si>
  <si>
    <t xml:space="preserve">Škoda celkem v tisících Kč</t>
  </si>
  <si>
    <t xml:space="preserve">Policie ČR, sloupec X</t>
  </si>
  <si>
    <t xml:space="preserve">Zajištěné hodnoty na místě TČ v tisících Kč</t>
  </si>
  <si>
    <t xml:space="preserve">Policie ČR, sloupec 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</si>
</sst>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62"/>
  </cols>
  <sheetData>
    <row r="2" customFormat="false" ht="16.1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5" t="s">
        <v>5</v>
      </c>
    </row>
    <row r="7" customFormat="false" ht="15" hidden="false" customHeight="false" outlineLevel="0" collapsed="false">
      <c r="B7" s="3" t="s">
        <v>6</v>
      </c>
      <c r="C7" s="5" t="s">
        <v>7</v>
      </c>
    </row>
    <row r="8" customFormat="false" ht="15" hidden="false" customHeight="false" outlineLevel="0" collapsed="false">
      <c r="B8" s="3" t="s">
        <v>8</v>
      </c>
      <c r="C8" s="5" t="s">
        <v>9</v>
      </c>
    </row>
    <row r="9" customFormat="false" ht="15" hidden="false" customHeight="false" outlineLevel="0" collapsed="false">
      <c r="B9" s="3" t="s">
        <v>10</v>
      </c>
      <c r="C9" s="6" t="n">
        <v>18722</v>
      </c>
    </row>
    <row r="11" customFormat="false" ht="15" hidden="false" customHeight="false" outlineLevel="0" collapsed="false">
      <c r="B11" s="2" t="s">
        <v>11</v>
      </c>
    </row>
    <row r="12" customFormat="false" ht="15" hidden="false" customHeight="false" outlineLevel="0" collapsed="false">
      <c r="B12" s="3" t="s">
        <v>12</v>
      </c>
      <c r="C12" s="7" t="n">
        <f aca="false">SUM(KRAJE_TSK!C2:C15)</f>
        <v>18722</v>
      </c>
    </row>
    <row r="13" customFormat="false" ht="15" hidden="false" customHeight="false" outlineLevel="0" collapsed="false">
      <c r="B13" s="3" t="s">
        <v>13</v>
      </c>
      <c r="C13" s="7" t="n">
        <f aca="false">C9-C12</f>
        <v>0</v>
      </c>
    </row>
    <row r="14" customFormat="false" ht="15" hidden="false" customHeight="false" outlineLevel="0" collapsed="false">
      <c r="B14" s="3" t="s">
        <v>14</v>
      </c>
      <c r="C14" s="8" t="n">
        <f aca="false">SUM(KRAJE_TSK!D2:D15)</f>
        <v>100</v>
      </c>
    </row>
    <row r="16" customFormat="false" ht="15" hidden="false" customHeight="false" outlineLevel="0" collapsed="false">
      <c r="B16" s="2" t="s">
        <v>15</v>
      </c>
    </row>
    <row r="17" customFormat="false" ht="15" hidden="false" customHeight="false" outlineLevel="0" collapsed="false">
      <c r="B17" s="9" t="s">
        <v>16</v>
      </c>
      <c r="C17" s="9"/>
    </row>
    <row r="18" customFormat="false" ht="15" hidden="false" customHeight="false" outlineLevel="0" collapsed="false">
      <c r="B18" s="9" t="s">
        <v>17</v>
      </c>
      <c r="C18" s="9"/>
    </row>
    <row r="19" customFormat="false" ht="15" hidden="false" customHeight="false" outlineLevel="0" collapsed="false">
      <c r="B19" s="9" t="s">
        <v>18</v>
      </c>
      <c r="C19" s="9"/>
    </row>
    <row r="20" customFormat="false" ht="15" hidden="false" customHeight="false" outlineLevel="0" collapsed="false">
      <c r="B20" s="9" t="s">
        <v>19</v>
      </c>
      <c r="C20" s="9"/>
    </row>
    <row r="21" customFormat="false" ht="15" hidden="false" customHeight="false" outlineLevel="0" collapsed="false">
      <c r="B21" s="9" t="s">
        <v>20</v>
      </c>
      <c r="C21" s="9"/>
    </row>
    <row r="23" customFormat="false" ht="15" hidden="false" customHeight="false" outlineLevel="0" collapsed="false">
      <c r="B23" s="10" t="s">
        <v>21</v>
      </c>
    </row>
    <row r="24" customFormat="false" ht="15" hidden="false" customHeight="false" outlineLevel="0" collapsed="false">
      <c r="B24" s="10" t="s">
        <v>22</v>
      </c>
    </row>
  </sheetData>
  <mergeCells count="5">
    <mergeCell ref="B17:C17"/>
    <mergeCell ref="B18:C18"/>
    <mergeCell ref="B19:C19"/>
    <mergeCell ref="B20:C20"/>
    <mergeCell ref="B21:C21"/>
  </mergeCells>
  <dataValidations count="1">
    <dataValidation allowBlank="false" errorStyle="stop" operator="between" showDropDown="false" showErrorMessage="false" showInputMessage="false" sqref="C5" type="list">
      <formula1>"KOD_NUTS3,KOD_CSU,KOD_RUIAN,KOD_ISO"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6" min="2" style="0" width="11"/>
  </cols>
  <sheetData>
    <row r="1" customFormat="false" ht="15" hidden="false" customHeight="false" outlineLevel="0" collapsed="false">
      <c r="A1" s="11" t="s">
        <v>23</v>
      </c>
      <c r="B1" s="11" t="s">
        <v>24</v>
      </c>
      <c r="C1" s="11" t="s">
        <v>25</v>
      </c>
      <c r="D1" s="11" t="s">
        <v>26</v>
      </c>
      <c r="E1" s="11" t="s">
        <v>27</v>
      </c>
      <c r="F1" s="11" t="s">
        <v>28</v>
      </c>
      <c r="G1" s="11" t="s">
        <v>29</v>
      </c>
      <c r="H1" s="11" t="s">
        <v>30</v>
      </c>
      <c r="I1" s="11" t="s">
        <v>31</v>
      </c>
      <c r="J1" s="11" t="s">
        <v>32</v>
      </c>
      <c r="K1" s="11" t="s">
        <v>33</v>
      </c>
      <c r="L1" s="11" t="s">
        <v>34</v>
      </c>
      <c r="M1" s="11" t="s">
        <v>35</v>
      </c>
      <c r="N1" s="11" t="s">
        <v>36</v>
      </c>
      <c r="O1" s="11" t="s">
        <v>37</v>
      </c>
      <c r="P1" s="11" t="s">
        <v>38</v>
      </c>
      <c r="Q1" s="11" t="s">
        <v>39</v>
      </c>
      <c r="R1" s="11" t="s">
        <v>40</v>
      </c>
      <c r="S1" s="11" t="s">
        <v>41</v>
      </c>
      <c r="T1" s="11" t="s">
        <v>42</v>
      </c>
      <c r="U1" s="11" t="s">
        <v>43</v>
      </c>
      <c r="V1" s="11" t="s">
        <v>44</v>
      </c>
      <c r="W1" s="11" t="s">
        <v>45</v>
      </c>
      <c r="X1" s="11" t="s">
        <v>46</v>
      </c>
      <c r="Y1" s="11" t="s">
        <v>47</v>
      </c>
      <c r="Z1" s="11" t="s">
        <v>48</v>
      </c>
    </row>
    <row r="2" customFormat="false" ht="15" hidden="false" customHeight="false" outlineLevel="0" collapsed="false">
      <c r="A2" s="5" t="s">
        <v>49</v>
      </c>
      <c r="B2" s="5" t="str">
        <f aca="false">INDEX(CISELNIK!$B$2:$E$15,MATCH(A2,CISELNIK!$A$2:$A$15,0),MATCH(NAVOD!$C$5,CISELNIK!$B$1:$E$1,0))</f>
        <v>CZ010</v>
      </c>
      <c r="C2" s="12" t="n">
        <v>3135</v>
      </c>
      <c r="D2" s="13" t="n">
        <f aca="false">IF(SUM($C$2:$C$15)=0,0,C2/SUM($C$2:$C$15)*100)</f>
        <v>16.7450058754407</v>
      </c>
      <c r="E2" s="12" t="n">
        <v>297</v>
      </c>
      <c r="F2" s="13" t="n">
        <f aca="false">IF(C2=0,0,E2/C2*100)</f>
        <v>9.47368421052632</v>
      </c>
      <c r="G2" s="12" t="n">
        <v>0</v>
      </c>
      <c r="H2" s="12" t="n">
        <v>11</v>
      </c>
      <c r="I2" s="12" t="n">
        <v>11</v>
      </c>
      <c r="J2" s="12" t="n">
        <v>136</v>
      </c>
      <c r="K2" s="12" t="n">
        <v>113</v>
      </c>
      <c r="L2" s="12" t="n">
        <v>0</v>
      </c>
      <c r="M2" s="12" t="n">
        <v>0</v>
      </c>
      <c r="N2" s="12" t="n">
        <v>3</v>
      </c>
      <c r="O2" s="12" t="n">
        <v>323</v>
      </c>
      <c r="P2" s="12" t="n">
        <v>620</v>
      </c>
      <c r="Q2" s="12" t="n">
        <v>0</v>
      </c>
      <c r="R2" s="12" t="n">
        <v>15</v>
      </c>
      <c r="S2" s="12" t="n">
        <v>15</v>
      </c>
      <c r="T2" s="12" t="n">
        <v>315</v>
      </c>
      <c r="U2" s="12" t="n">
        <v>152</v>
      </c>
      <c r="V2" s="12" t="n">
        <v>0</v>
      </c>
      <c r="W2" s="12" t="n">
        <v>0</v>
      </c>
      <c r="X2" s="12" t="n">
        <v>4</v>
      </c>
      <c r="Y2" s="12" t="n">
        <v>1631025</v>
      </c>
      <c r="Z2" s="12" t="n">
        <v>123</v>
      </c>
    </row>
    <row r="3" customFormat="false" ht="15" hidden="false" customHeight="false" outlineLevel="0" collapsed="false">
      <c r="A3" s="5" t="s">
        <v>50</v>
      </c>
      <c r="B3" s="5" t="str">
        <f aca="false">INDEX(CISELNIK!$B$2:$E$15,MATCH(A3,CISELNIK!$A$2:$A$15,0),MATCH(NAVOD!$C$5,CISELNIK!$B$1:$E$1,0))</f>
        <v>CZ020</v>
      </c>
      <c r="C3" s="12" t="n">
        <v>2639</v>
      </c>
      <c r="D3" s="13" t="n">
        <f aca="false">IF(SUM($C$2:$C$15)=0,0,C3/SUM($C$2:$C$15)*100)</f>
        <v>14.0957162696293</v>
      </c>
      <c r="E3" s="12" t="n">
        <v>108</v>
      </c>
      <c r="F3" s="13" t="n">
        <f aca="false">IF(C3=0,0,E3/C3*100)</f>
        <v>4.09245926487306</v>
      </c>
      <c r="G3" s="12" t="n">
        <v>1</v>
      </c>
      <c r="H3" s="12" t="n">
        <v>2</v>
      </c>
      <c r="I3" s="12" t="n">
        <v>3</v>
      </c>
      <c r="J3" s="12" t="n">
        <v>47</v>
      </c>
      <c r="K3" s="12" t="n">
        <v>19</v>
      </c>
      <c r="L3" s="12" t="n">
        <v>0</v>
      </c>
      <c r="M3" s="12" t="n">
        <v>0</v>
      </c>
      <c r="N3" s="12" t="n">
        <v>2</v>
      </c>
      <c r="O3" s="12" t="n">
        <v>254</v>
      </c>
      <c r="P3" s="12" t="n">
        <v>362</v>
      </c>
      <c r="Q3" s="12" t="n">
        <v>2</v>
      </c>
      <c r="R3" s="12" t="n">
        <v>5</v>
      </c>
      <c r="S3" s="12" t="n">
        <v>7</v>
      </c>
      <c r="T3" s="12" t="n">
        <v>198</v>
      </c>
      <c r="U3" s="12" t="n">
        <v>37</v>
      </c>
      <c r="V3" s="12" t="n">
        <v>1</v>
      </c>
      <c r="W3" s="12" t="n">
        <v>0</v>
      </c>
      <c r="X3" s="12" t="n">
        <v>3</v>
      </c>
      <c r="Y3" s="12" t="n">
        <v>2228799</v>
      </c>
      <c r="Z3" s="12" t="n">
        <v>0</v>
      </c>
    </row>
    <row r="4" customFormat="false" ht="15" hidden="false" customHeight="false" outlineLevel="0" collapsed="false">
      <c r="A4" s="5" t="s">
        <v>51</v>
      </c>
      <c r="B4" s="5" t="str">
        <f aca="false">INDEX(CISELNIK!$B$2:$E$15,MATCH(A4,CISELNIK!$A$2:$A$15,0),MATCH(NAVOD!$C$5,CISELNIK!$B$1:$E$1,0))</f>
        <v>CZ031</v>
      </c>
      <c r="C4" s="12" t="n">
        <v>1192</v>
      </c>
      <c r="D4" s="13" t="n">
        <f aca="false">IF(SUM($C$2:$C$15)=0,0,C4/SUM($C$2:$C$15)*100)</f>
        <v>6.36684114944985</v>
      </c>
      <c r="E4" s="12" t="n">
        <v>78</v>
      </c>
      <c r="F4" s="13" t="n">
        <f aca="false">IF(C4=0,0,E4/C4*100)</f>
        <v>6.54362416107383</v>
      </c>
      <c r="G4" s="12" t="n">
        <v>2</v>
      </c>
      <c r="H4" s="12" t="n">
        <v>2</v>
      </c>
      <c r="I4" s="12" t="n">
        <v>4</v>
      </c>
      <c r="J4" s="12" t="n">
        <v>31</v>
      </c>
      <c r="K4" s="12" t="n">
        <v>6</v>
      </c>
      <c r="L4" s="12" t="n">
        <v>0</v>
      </c>
      <c r="M4" s="12" t="n">
        <v>0</v>
      </c>
      <c r="N4" s="12" t="n">
        <v>2</v>
      </c>
      <c r="O4" s="12" t="n">
        <v>88</v>
      </c>
      <c r="P4" s="12" t="n">
        <v>166</v>
      </c>
      <c r="Q4" s="12" t="n">
        <v>2</v>
      </c>
      <c r="R4" s="12" t="n">
        <v>4</v>
      </c>
      <c r="S4" s="12" t="n">
        <v>6</v>
      </c>
      <c r="T4" s="12" t="n">
        <v>88</v>
      </c>
      <c r="U4" s="12" t="n">
        <v>9</v>
      </c>
      <c r="V4" s="12" t="n">
        <v>0</v>
      </c>
      <c r="W4" s="12" t="n">
        <v>0</v>
      </c>
      <c r="X4" s="12" t="n">
        <v>2</v>
      </c>
      <c r="Y4" s="12" t="n">
        <v>306793</v>
      </c>
      <c r="Z4" s="12" t="n">
        <v>0</v>
      </c>
    </row>
    <row r="5" customFormat="false" ht="15" hidden="false" customHeight="false" outlineLevel="0" collapsed="false">
      <c r="A5" s="5" t="s">
        <v>52</v>
      </c>
      <c r="B5" s="5" t="str">
        <f aca="false">INDEX(CISELNIK!$B$2:$E$15,MATCH(A5,CISELNIK!$A$2:$A$15,0),MATCH(NAVOD!$C$5,CISELNIK!$B$1:$E$1,0))</f>
        <v>CZ032</v>
      </c>
      <c r="C5" s="12" t="n">
        <v>1092</v>
      </c>
      <c r="D5" s="13" t="n">
        <f aca="false">IF(SUM($C$2:$C$15)=0,0,C5/SUM($C$2:$C$15)*100)</f>
        <v>5.83271018053627</v>
      </c>
      <c r="E5" s="12" t="n">
        <v>57</v>
      </c>
      <c r="F5" s="13" t="n">
        <f aca="false">IF(C5=0,0,E5/C5*100)</f>
        <v>5.21978021978022</v>
      </c>
      <c r="G5" s="12" t="n">
        <v>0</v>
      </c>
      <c r="H5" s="12" t="n">
        <v>1</v>
      </c>
      <c r="I5" s="12" t="n">
        <v>1</v>
      </c>
      <c r="J5" s="12" t="n">
        <v>31</v>
      </c>
      <c r="K5" s="12" t="n">
        <v>6</v>
      </c>
      <c r="L5" s="12" t="n">
        <v>0</v>
      </c>
      <c r="M5" s="12" t="n">
        <v>0</v>
      </c>
      <c r="N5" s="12" t="n">
        <v>2</v>
      </c>
      <c r="O5" s="12" t="n">
        <v>102</v>
      </c>
      <c r="P5" s="12" t="n">
        <v>159</v>
      </c>
      <c r="Q5" s="12" t="n">
        <v>0</v>
      </c>
      <c r="R5" s="12" t="n">
        <v>2</v>
      </c>
      <c r="S5" s="12" t="n">
        <v>2</v>
      </c>
      <c r="T5" s="12" t="n">
        <v>105</v>
      </c>
      <c r="U5" s="12" t="n">
        <v>15</v>
      </c>
      <c r="V5" s="12" t="n">
        <v>0</v>
      </c>
      <c r="W5" s="12" t="n">
        <v>0</v>
      </c>
      <c r="X5" s="12" t="n">
        <v>3</v>
      </c>
      <c r="Y5" s="12" t="n">
        <v>278417</v>
      </c>
      <c r="Z5" s="12" t="n">
        <v>0</v>
      </c>
    </row>
    <row r="6" customFormat="false" ht="15" hidden="false" customHeight="false" outlineLevel="0" collapsed="false">
      <c r="A6" s="5" t="s">
        <v>53</v>
      </c>
      <c r="B6" s="5" t="str">
        <f aca="false">INDEX(CISELNIK!$B$2:$E$15,MATCH(A6,CISELNIK!$A$2:$A$15,0),MATCH(NAVOD!$C$5,CISELNIK!$B$1:$E$1,0))</f>
        <v>CZ041</v>
      </c>
      <c r="C6" s="12" t="n">
        <v>557</v>
      </c>
      <c r="D6" s="13" t="n">
        <f aca="false">IF(SUM($C$2:$C$15)=0,0,C6/SUM($C$2:$C$15)*100)</f>
        <v>2.97510949684863</v>
      </c>
      <c r="E6" s="12" t="n">
        <v>17</v>
      </c>
      <c r="F6" s="13" t="n">
        <f aca="false">IF(C6=0,0,E6/C6*100)</f>
        <v>3.05206463195691</v>
      </c>
      <c r="G6" s="12" t="n">
        <v>0</v>
      </c>
      <c r="H6" s="12" t="n">
        <v>0</v>
      </c>
      <c r="I6" s="12" t="n">
        <v>0</v>
      </c>
      <c r="J6" s="12" t="n">
        <v>8</v>
      </c>
      <c r="K6" s="12" t="n">
        <v>3</v>
      </c>
      <c r="L6" s="12" t="n">
        <v>0</v>
      </c>
      <c r="M6" s="12" t="n">
        <v>0</v>
      </c>
      <c r="N6" s="12" t="n">
        <v>0</v>
      </c>
      <c r="O6" s="12" t="n">
        <v>64</v>
      </c>
      <c r="P6" s="12" t="n">
        <v>81</v>
      </c>
      <c r="Q6" s="12" t="n">
        <v>0</v>
      </c>
      <c r="R6" s="12" t="n">
        <v>1</v>
      </c>
      <c r="S6" s="12" t="n">
        <v>1</v>
      </c>
      <c r="T6" s="12" t="n">
        <v>38</v>
      </c>
      <c r="U6" s="12" t="n">
        <v>11</v>
      </c>
      <c r="V6" s="12" t="n">
        <v>0</v>
      </c>
      <c r="W6" s="12" t="n">
        <v>0</v>
      </c>
      <c r="X6" s="12" t="n">
        <v>0</v>
      </c>
      <c r="Y6" s="12" t="n">
        <v>140920</v>
      </c>
      <c r="Z6" s="12" t="n">
        <v>0</v>
      </c>
    </row>
    <row r="7" customFormat="false" ht="15" hidden="false" customHeight="false" outlineLevel="0" collapsed="false">
      <c r="A7" s="5" t="s">
        <v>54</v>
      </c>
      <c r="B7" s="5" t="str">
        <f aca="false">INDEX(CISELNIK!$B$2:$E$15,MATCH(A7,CISELNIK!$A$2:$A$15,0),MATCH(NAVOD!$C$5,CISELNIK!$B$1:$E$1,0))</f>
        <v>CZ042</v>
      </c>
      <c r="C7" s="12" t="n">
        <v>1196</v>
      </c>
      <c r="D7" s="13" t="n">
        <f aca="false">IF(SUM($C$2:$C$15)=0,0,C7/SUM($C$2:$C$15)*100)</f>
        <v>6.38820638820639</v>
      </c>
      <c r="E7" s="12" t="n">
        <v>98</v>
      </c>
      <c r="F7" s="13" t="n">
        <f aca="false">IF(C7=0,0,E7/C7*100)</f>
        <v>8.19397993311037</v>
      </c>
      <c r="G7" s="12" t="n">
        <v>1</v>
      </c>
      <c r="H7" s="12" t="n">
        <v>6</v>
      </c>
      <c r="I7" s="12" t="n">
        <v>7</v>
      </c>
      <c r="J7" s="12" t="n">
        <v>52</v>
      </c>
      <c r="K7" s="12" t="n">
        <v>8</v>
      </c>
      <c r="L7" s="12" t="n">
        <v>1</v>
      </c>
      <c r="M7" s="12" t="n">
        <v>0</v>
      </c>
      <c r="N7" s="12" t="n">
        <v>1</v>
      </c>
      <c r="O7" s="12" t="n">
        <v>129</v>
      </c>
      <c r="P7" s="12" t="n">
        <v>227</v>
      </c>
      <c r="Q7" s="12" t="n">
        <v>1</v>
      </c>
      <c r="R7" s="12" t="n">
        <v>9</v>
      </c>
      <c r="S7" s="12" t="n">
        <v>10</v>
      </c>
      <c r="T7" s="12" t="n">
        <v>139</v>
      </c>
      <c r="U7" s="12" t="n">
        <v>18</v>
      </c>
      <c r="V7" s="12" t="n">
        <v>2</v>
      </c>
      <c r="W7" s="12" t="n">
        <v>0</v>
      </c>
      <c r="X7" s="12" t="n">
        <v>2</v>
      </c>
      <c r="Y7" s="12" t="n">
        <v>320141</v>
      </c>
      <c r="Z7" s="12" t="n">
        <v>0</v>
      </c>
    </row>
    <row r="8" customFormat="false" ht="15" hidden="false" customHeight="false" outlineLevel="0" collapsed="false">
      <c r="A8" s="5" t="s">
        <v>55</v>
      </c>
      <c r="B8" s="5" t="str">
        <f aca="false">INDEX(CISELNIK!$B$2:$E$15,MATCH(A8,CISELNIK!$A$2:$A$15,0),MATCH(NAVOD!$C$5,CISELNIK!$B$1:$E$1,0))</f>
        <v>CZ051</v>
      </c>
      <c r="C8" s="12" t="n">
        <v>819</v>
      </c>
      <c r="D8" s="13" t="n">
        <f aca="false">IF(SUM($C$2:$C$15)=0,0,C8/SUM($C$2:$C$15)*100)</f>
        <v>4.3745326354022</v>
      </c>
      <c r="E8" s="12" t="n">
        <v>57</v>
      </c>
      <c r="F8" s="13" t="n">
        <f aca="false">IF(C8=0,0,E8/C8*100)</f>
        <v>6.95970695970696</v>
      </c>
      <c r="G8" s="12" t="n">
        <v>0</v>
      </c>
      <c r="H8" s="12" t="n">
        <v>0</v>
      </c>
      <c r="I8" s="12" t="n">
        <v>0</v>
      </c>
      <c r="J8" s="12" t="n">
        <v>34</v>
      </c>
      <c r="K8" s="12" t="n">
        <v>5</v>
      </c>
      <c r="L8" s="12" t="n">
        <v>0</v>
      </c>
      <c r="M8" s="12" t="n">
        <v>0</v>
      </c>
      <c r="N8" s="12" t="n">
        <v>0</v>
      </c>
      <c r="O8" s="12" t="n">
        <v>83</v>
      </c>
      <c r="P8" s="12" t="n">
        <v>140</v>
      </c>
      <c r="Q8" s="12" t="n">
        <v>0</v>
      </c>
      <c r="R8" s="12" t="n">
        <v>0</v>
      </c>
      <c r="S8" s="12" t="n">
        <v>0</v>
      </c>
      <c r="T8" s="12" t="n">
        <v>76</v>
      </c>
      <c r="U8" s="12" t="n">
        <v>12</v>
      </c>
      <c r="V8" s="12" t="n">
        <v>0</v>
      </c>
      <c r="W8" s="12" t="n">
        <v>0</v>
      </c>
      <c r="X8" s="12" t="n">
        <v>0</v>
      </c>
      <c r="Y8" s="12" t="n">
        <v>244571</v>
      </c>
      <c r="Z8" s="12" t="n">
        <v>0</v>
      </c>
    </row>
    <row r="9" customFormat="false" ht="15" hidden="false" customHeight="false" outlineLevel="0" collapsed="false">
      <c r="A9" s="5" t="s">
        <v>56</v>
      </c>
      <c r="B9" s="5" t="str">
        <f aca="false">INDEX(CISELNIK!$B$2:$E$15,MATCH(A9,CISELNIK!$A$2:$A$15,0),MATCH(NAVOD!$C$5,CISELNIK!$B$1:$E$1,0))</f>
        <v>CZ052</v>
      </c>
      <c r="C9" s="12" t="n">
        <v>1034</v>
      </c>
      <c r="D9" s="13" t="n">
        <f aca="false">IF(SUM($C$2:$C$15)=0,0,C9/SUM($C$2:$C$15)*100)</f>
        <v>5.52291421856639</v>
      </c>
      <c r="E9" s="12" t="n">
        <v>70</v>
      </c>
      <c r="F9" s="13" t="n">
        <f aca="false">IF(C9=0,0,E9/C9*100)</f>
        <v>6.76982591876209</v>
      </c>
      <c r="G9" s="12" t="n">
        <v>0</v>
      </c>
      <c r="H9" s="12" t="n">
        <v>0</v>
      </c>
      <c r="I9" s="12" t="n">
        <v>0</v>
      </c>
      <c r="J9" s="12" t="n">
        <v>39</v>
      </c>
      <c r="K9" s="12" t="n">
        <v>7</v>
      </c>
      <c r="L9" s="12" t="n">
        <v>1</v>
      </c>
      <c r="M9" s="12" t="n">
        <v>0</v>
      </c>
      <c r="N9" s="12" t="n">
        <v>0</v>
      </c>
      <c r="O9" s="12" t="n">
        <v>92</v>
      </c>
      <c r="P9" s="12" t="n">
        <v>162</v>
      </c>
      <c r="Q9" s="12" t="n">
        <v>1</v>
      </c>
      <c r="R9" s="12" t="n">
        <v>4</v>
      </c>
      <c r="S9" s="12" t="n">
        <v>5</v>
      </c>
      <c r="T9" s="12" t="n">
        <v>102</v>
      </c>
      <c r="U9" s="12" t="n">
        <v>11</v>
      </c>
      <c r="V9" s="12" t="n">
        <v>1</v>
      </c>
      <c r="W9" s="12" t="n">
        <v>0</v>
      </c>
      <c r="X9" s="12" t="n">
        <v>1</v>
      </c>
      <c r="Y9" s="12" t="n">
        <v>280879</v>
      </c>
      <c r="Z9" s="12" t="n">
        <v>397</v>
      </c>
    </row>
    <row r="10" customFormat="false" ht="15" hidden="false" customHeight="false" outlineLevel="0" collapsed="false">
      <c r="A10" s="5" t="s">
        <v>57</v>
      </c>
      <c r="B10" s="5" t="str">
        <f aca="false">INDEX(CISELNIK!$B$2:$E$15,MATCH(A10,CISELNIK!$A$2:$A$15,0),MATCH(NAVOD!$C$5,CISELNIK!$B$1:$E$1,0))</f>
        <v>CZ053</v>
      </c>
      <c r="C10" s="12" t="n">
        <v>753</v>
      </c>
      <c r="D10" s="13" t="n">
        <f aca="false">IF(SUM($C$2:$C$15)=0,0,C10/SUM($C$2:$C$15)*100)</f>
        <v>4.02200619591924</v>
      </c>
      <c r="E10" s="12" t="n">
        <v>60</v>
      </c>
      <c r="F10" s="13" t="n">
        <f aca="false">IF(C10=0,0,E10/C10*100)</f>
        <v>7.96812749003984</v>
      </c>
      <c r="G10" s="12" t="n">
        <v>0</v>
      </c>
      <c r="H10" s="12" t="n">
        <v>0</v>
      </c>
      <c r="I10" s="12" t="n">
        <v>0</v>
      </c>
      <c r="J10" s="12" t="n">
        <v>35</v>
      </c>
      <c r="K10" s="12" t="n">
        <v>4</v>
      </c>
      <c r="L10" s="12" t="n">
        <v>0</v>
      </c>
      <c r="M10" s="12" t="n">
        <v>0</v>
      </c>
      <c r="N10" s="12" t="n">
        <v>1</v>
      </c>
      <c r="O10" s="12" t="n">
        <v>86</v>
      </c>
      <c r="P10" s="12" t="n">
        <v>146</v>
      </c>
      <c r="Q10" s="12" t="n">
        <v>1</v>
      </c>
      <c r="R10" s="12" t="n">
        <v>1</v>
      </c>
      <c r="S10" s="12" t="n">
        <v>2</v>
      </c>
      <c r="T10" s="12" t="n">
        <v>92</v>
      </c>
      <c r="U10" s="12" t="n">
        <v>10</v>
      </c>
      <c r="V10" s="12" t="n">
        <v>0</v>
      </c>
      <c r="W10" s="12" t="n">
        <v>0</v>
      </c>
      <c r="X10" s="12" t="n">
        <v>1</v>
      </c>
      <c r="Y10" s="12" t="n">
        <v>220731</v>
      </c>
      <c r="Z10" s="12" t="n">
        <v>20</v>
      </c>
    </row>
    <row r="11" customFormat="false" ht="15" hidden="false" customHeight="false" outlineLevel="0" collapsed="false">
      <c r="A11" s="5" t="s">
        <v>58</v>
      </c>
      <c r="B11" s="5" t="str">
        <f aca="false">INDEX(CISELNIK!$B$2:$E$15,MATCH(A11,CISELNIK!$A$2:$A$15,0),MATCH(NAVOD!$C$5,CISELNIK!$B$1:$E$1,0))</f>
        <v>CZ063</v>
      </c>
      <c r="C11" s="12" t="n">
        <v>839</v>
      </c>
      <c r="D11" s="13" t="n">
        <f aca="false">IF(SUM($C$2:$C$15)=0,0,C11/SUM($C$2:$C$15)*100)</f>
        <v>4.48135882918492</v>
      </c>
      <c r="E11" s="12" t="n">
        <v>64</v>
      </c>
      <c r="F11" s="13" t="n">
        <f aca="false">IF(C11=0,0,E11/C11*100)</f>
        <v>7.62812872467223</v>
      </c>
      <c r="G11" s="12" t="n">
        <v>0</v>
      </c>
      <c r="H11" s="12" t="n">
        <v>0</v>
      </c>
      <c r="I11" s="12" t="n">
        <v>0</v>
      </c>
      <c r="J11" s="12" t="n">
        <v>25</v>
      </c>
      <c r="K11" s="12" t="n">
        <v>13</v>
      </c>
      <c r="L11" s="12" t="n">
        <v>0</v>
      </c>
      <c r="M11" s="12" t="n">
        <v>0</v>
      </c>
      <c r="N11" s="12" t="n">
        <v>1</v>
      </c>
      <c r="O11" s="12" t="n">
        <v>85</v>
      </c>
      <c r="P11" s="12" t="n">
        <v>149</v>
      </c>
      <c r="Q11" s="12" t="n">
        <v>0</v>
      </c>
      <c r="R11" s="12" t="n">
        <v>2</v>
      </c>
      <c r="S11" s="12" t="n">
        <v>2</v>
      </c>
      <c r="T11" s="12" t="n">
        <v>79</v>
      </c>
      <c r="U11" s="12" t="n">
        <v>24</v>
      </c>
      <c r="V11" s="12" t="n">
        <v>0</v>
      </c>
      <c r="W11" s="12" t="n">
        <v>0</v>
      </c>
      <c r="X11" s="12" t="n">
        <v>2</v>
      </c>
      <c r="Y11" s="12" t="n">
        <v>246754</v>
      </c>
      <c r="Z11" s="12" t="n">
        <v>0</v>
      </c>
    </row>
    <row r="12" customFormat="false" ht="15" hidden="false" customHeight="false" outlineLevel="0" collapsed="false">
      <c r="A12" s="5" t="s">
        <v>59</v>
      </c>
      <c r="B12" s="5" t="str">
        <f aca="false">INDEX(CISELNIK!$B$2:$E$15,MATCH(A12,CISELNIK!$A$2:$A$15,0),MATCH(NAVOD!$C$5,CISELNIK!$B$1:$E$1,0))</f>
        <v>CZ064</v>
      </c>
      <c r="C12" s="12" t="n">
        <v>1828</v>
      </c>
      <c r="D12" s="13" t="n">
        <f aca="false">IF(SUM($C$2:$C$15)=0,0,C12/SUM($C$2:$C$15)*100)</f>
        <v>9.7639141117402</v>
      </c>
      <c r="E12" s="12" t="n">
        <v>131</v>
      </c>
      <c r="F12" s="13" t="n">
        <f aca="false">IF(C12=0,0,E12/C12*100)</f>
        <v>7.16630196936543</v>
      </c>
      <c r="G12" s="12" t="n">
        <v>0</v>
      </c>
      <c r="H12" s="12" t="n">
        <v>2</v>
      </c>
      <c r="I12" s="12" t="n">
        <v>2</v>
      </c>
      <c r="J12" s="12" t="n">
        <v>63</v>
      </c>
      <c r="K12" s="12" t="n">
        <v>8</v>
      </c>
      <c r="L12" s="12" t="n">
        <v>1</v>
      </c>
      <c r="M12" s="12" t="n">
        <v>0</v>
      </c>
      <c r="N12" s="12" t="n">
        <v>3</v>
      </c>
      <c r="O12" s="12" t="n">
        <v>219</v>
      </c>
      <c r="P12" s="12" t="n">
        <v>350</v>
      </c>
      <c r="Q12" s="12" t="n">
        <v>0</v>
      </c>
      <c r="R12" s="12" t="n">
        <v>7</v>
      </c>
      <c r="S12" s="12" t="n">
        <v>7</v>
      </c>
      <c r="T12" s="12" t="n">
        <v>209</v>
      </c>
      <c r="U12" s="12" t="n">
        <v>20</v>
      </c>
      <c r="V12" s="12" t="n">
        <v>1</v>
      </c>
      <c r="W12" s="12" t="n">
        <v>0</v>
      </c>
      <c r="X12" s="12" t="n">
        <v>4</v>
      </c>
      <c r="Y12" s="12" t="n">
        <v>680039</v>
      </c>
      <c r="Z12" s="12" t="n">
        <v>0</v>
      </c>
    </row>
    <row r="13" customFormat="false" ht="15" hidden="false" customHeight="false" outlineLevel="0" collapsed="false">
      <c r="A13" s="5" t="s">
        <v>60</v>
      </c>
      <c r="B13" s="5" t="str">
        <f aca="false">INDEX(CISELNIK!$B$2:$E$15,MATCH(A13,CISELNIK!$A$2:$A$15,0),MATCH(NAVOD!$C$5,CISELNIK!$B$1:$E$1,0))</f>
        <v>CZ071</v>
      </c>
      <c r="C13" s="12" t="n">
        <v>963</v>
      </c>
      <c r="D13" s="13" t="n">
        <f aca="false">IF(SUM($C$2:$C$15)=0,0,C13/SUM($C$2:$C$15)*100)</f>
        <v>5.14368123063775</v>
      </c>
      <c r="E13" s="12" t="n">
        <v>115</v>
      </c>
      <c r="F13" s="13" t="n">
        <f aca="false">IF(C13=0,0,E13/C13*100)</f>
        <v>11.9418483904465</v>
      </c>
      <c r="G13" s="12" t="n">
        <v>0</v>
      </c>
      <c r="H13" s="12" t="n">
        <v>9</v>
      </c>
      <c r="I13" s="12" t="n">
        <v>9</v>
      </c>
      <c r="J13" s="12" t="n">
        <v>76</v>
      </c>
      <c r="K13" s="12" t="n">
        <v>2</v>
      </c>
      <c r="L13" s="12" t="n">
        <v>1</v>
      </c>
      <c r="M13" s="12" t="n">
        <v>1</v>
      </c>
      <c r="N13" s="12" t="n">
        <v>0</v>
      </c>
      <c r="O13" s="12" t="n">
        <v>100</v>
      </c>
      <c r="P13" s="12" t="n">
        <v>215</v>
      </c>
      <c r="Q13" s="12" t="n">
        <v>0</v>
      </c>
      <c r="R13" s="12" t="n">
        <v>12</v>
      </c>
      <c r="S13" s="12" t="n">
        <v>12</v>
      </c>
      <c r="T13" s="12" t="n">
        <v>135</v>
      </c>
      <c r="U13" s="12" t="n">
        <v>13</v>
      </c>
      <c r="V13" s="12" t="n">
        <v>2</v>
      </c>
      <c r="W13" s="12" t="n">
        <v>1</v>
      </c>
      <c r="X13" s="12" t="n">
        <v>0</v>
      </c>
      <c r="Y13" s="12" t="n">
        <v>243953</v>
      </c>
      <c r="Z13" s="12" t="n">
        <v>285</v>
      </c>
    </row>
    <row r="14" customFormat="false" ht="15" hidden="false" customHeight="false" outlineLevel="0" collapsed="false">
      <c r="A14" s="5" t="s">
        <v>61</v>
      </c>
      <c r="B14" s="5" t="str">
        <f aca="false">INDEX(CISELNIK!$B$2:$E$15,MATCH(A14,CISELNIK!$A$2:$A$15,0),MATCH(NAVOD!$C$5,CISELNIK!$B$1:$E$1,0))</f>
        <v>CZ072</v>
      </c>
      <c r="C14" s="12" t="n">
        <v>807</v>
      </c>
      <c r="D14" s="13" t="n">
        <f aca="false">IF(SUM($C$2:$C$15)=0,0,C14/SUM($C$2:$C$15)*100)</f>
        <v>4.31043691913257</v>
      </c>
      <c r="E14" s="12" t="n">
        <v>63</v>
      </c>
      <c r="F14" s="13" t="n">
        <f aca="false">IF(C14=0,0,E14/C14*100)</f>
        <v>7.80669144981413</v>
      </c>
      <c r="G14" s="12" t="n">
        <v>0</v>
      </c>
      <c r="H14" s="12" t="n">
        <v>2</v>
      </c>
      <c r="I14" s="12" t="n">
        <v>2</v>
      </c>
      <c r="J14" s="12" t="n">
        <v>30</v>
      </c>
      <c r="K14" s="12" t="n">
        <v>6</v>
      </c>
      <c r="L14" s="12" t="n">
        <v>2</v>
      </c>
      <c r="M14" s="12" t="n">
        <v>0</v>
      </c>
      <c r="N14" s="12" t="n">
        <v>0</v>
      </c>
      <c r="O14" s="12" t="n">
        <v>82</v>
      </c>
      <c r="P14" s="12" t="n">
        <v>145</v>
      </c>
      <c r="Q14" s="12" t="n">
        <v>0</v>
      </c>
      <c r="R14" s="12" t="n">
        <v>4</v>
      </c>
      <c r="S14" s="12" t="n">
        <v>4</v>
      </c>
      <c r="T14" s="12" t="n">
        <v>87</v>
      </c>
      <c r="U14" s="12" t="n">
        <v>13</v>
      </c>
      <c r="V14" s="12" t="n">
        <v>2</v>
      </c>
      <c r="W14" s="12" t="n">
        <v>0</v>
      </c>
      <c r="X14" s="12" t="n">
        <v>0</v>
      </c>
      <c r="Y14" s="12" t="n">
        <v>365148</v>
      </c>
      <c r="Z14" s="12" t="n">
        <v>0</v>
      </c>
    </row>
    <row r="15" customFormat="false" ht="15" hidden="false" customHeight="false" outlineLevel="0" collapsed="false">
      <c r="A15" s="5" t="s">
        <v>62</v>
      </c>
      <c r="B15" s="5" t="str">
        <f aca="false">INDEX(CISELNIK!$B$2:$E$15,MATCH(A15,CISELNIK!$A$2:$A$15,0),MATCH(NAVOD!$C$5,CISELNIK!$B$1:$E$1,0))</f>
        <v>CZ080</v>
      </c>
      <c r="C15" s="12" t="n">
        <v>1868</v>
      </c>
      <c r="D15" s="13" t="n">
        <f aca="false">IF(SUM($C$2:$C$15)=0,0,C15/SUM($C$2:$C$15)*100)</f>
        <v>9.97756649930563</v>
      </c>
      <c r="E15" s="12" t="n">
        <v>129</v>
      </c>
      <c r="F15" s="13" t="n">
        <f aca="false">IF(C15=0,0,E15/C15*100)</f>
        <v>6.90578158458244</v>
      </c>
      <c r="G15" s="12" t="n">
        <v>0</v>
      </c>
      <c r="H15" s="12" t="n">
        <v>2</v>
      </c>
      <c r="I15" s="12" t="n">
        <v>2</v>
      </c>
      <c r="J15" s="12" t="n">
        <v>82</v>
      </c>
      <c r="K15" s="12" t="n">
        <v>5</v>
      </c>
      <c r="L15" s="12" t="n">
        <v>0</v>
      </c>
      <c r="M15" s="12" t="n">
        <v>0</v>
      </c>
      <c r="N15" s="12" t="n">
        <v>2</v>
      </c>
      <c r="O15" s="12" t="n">
        <v>180</v>
      </c>
      <c r="P15" s="12" t="n">
        <v>309</v>
      </c>
      <c r="Q15" s="12" t="n">
        <v>0</v>
      </c>
      <c r="R15" s="12" t="n">
        <v>4</v>
      </c>
      <c r="S15" s="12" t="n">
        <v>4</v>
      </c>
      <c r="T15" s="12" t="n">
        <v>206</v>
      </c>
      <c r="U15" s="12" t="n">
        <v>14</v>
      </c>
      <c r="V15" s="12" t="n">
        <v>0</v>
      </c>
      <c r="W15" s="12" t="n">
        <v>0</v>
      </c>
      <c r="X15" s="12" t="n">
        <v>3</v>
      </c>
      <c r="Y15" s="12" t="n">
        <v>454742</v>
      </c>
      <c r="Z15" s="12" t="n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4" t="s">
        <v>23</v>
      </c>
      <c r="B1" s="14" t="s">
        <v>3</v>
      </c>
      <c r="C1" s="14" t="s">
        <v>63</v>
      </c>
      <c r="D1" s="14" t="s">
        <v>64</v>
      </c>
      <c r="E1" s="14" t="s">
        <v>65</v>
      </c>
      <c r="F1" s="14" t="s">
        <v>66</v>
      </c>
      <c r="G1" s="14" t="s">
        <v>67</v>
      </c>
      <c r="H1" s="14" t="s">
        <v>68</v>
      </c>
    </row>
    <row r="2" customFormat="false" ht="15" hidden="false" customHeight="false" outlineLevel="0" collapsed="false">
      <c r="A2" s="5" t="s">
        <v>49</v>
      </c>
      <c r="B2" s="5" t="s">
        <v>69</v>
      </c>
      <c r="C2" s="5" t="n">
        <v>3018</v>
      </c>
      <c r="D2" s="5" t="n">
        <v>19</v>
      </c>
      <c r="E2" s="5" t="s">
        <v>70</v>
      </c>
      <c r="F2" s="5" t="s">
        <v>71</v>
      </c>
      <c r="G2" s="5" t="s">
        <v>72</v>
      </c>
      <c r="H2" s="5" t="s">
        <v>73</v>
      </c>
    </row>
    <row r="3" customFormat="false" ht="15" hidden="false" customHeight="false" outlineLevel="0" collapsed="false">
      <c r="A3" s="5" t="s">
        <v>50</v>
      </c>
      <c r="B3" s="5" t="s">
        <v>74</v>
      </c>
      <c r="C3" s="5" t="n">
        <v>3026</v>
      </c>
      <c r="D3" s="5" t="n">
        <v>27</v>
      </c>
      <c r="E3" s="5" t="s">
        <v>75</v>
      </c>
      <c r="F3" s="5" t="s">
        <v>76</v>
      </c>
      <c r="G3" s="5" t="s">
        <v>77</v>
      </c>
      <c r="H3" s="5" t="s">
        <v>78</v>
      </c>
    </row>
    <row r="4" customFormat="false" ht="15" hidden="false" customHeight="false" outlineLevel="0" collapsed="false">
      <c r="A4" s="5" t="s">
        <v>51</v>
      </c>
      <c r="B4" s="5" t="s">
        <v>79</v>
      </c>
      <c r="C4" s="5" t="n">
        <v>3034</v>
      </c>
      <c r="D4" s="5" t="n">
        <v>35</v>
      </c>
      <c r="E4" s="5" t="s">
        <v>80</v>
      </c>
      <c r="F4" s="5" t="s">
        <v>81</v>
      </c>
      <c r="G4" s="5" t="s">
        <v>82</v>
      </c>
      <c r="H4" s="5" t="s">
        <v>83</v>
      </c>
    </row>
    <row r="5" customFormat="false" ht="15" hidden="false" customHeight="false" outlineLevel="0" collapsed="false">
      <c r="A5" s="5" t="s">
        <v>52</v>
      </c>
      <c r="B5" s="5" t="s">
        <v>84</v>
      </c>
      <c r="C5" s="5" t="n">
        <v>3042</v>
      </c>
      <c r="D5" s="5" t="n">
        <v>43</v>
      </c>
      <c r="E5" s="5" t="s">
        <v>85</v>
      </c>
      <c r="F5" s="5" t="s">
        <v>86</v>
      </c>
      <c r="G5" s="5" t="s">
        <v>87</v>
      </c>
      <c r="H5" s="5" t="s">
        <v>88</v>
      </c>
    </row>
    <row r="6" customFormat="false" ht="15" hidden="false" customHeight="false" outlineLevel="0" collapsed="false">
      <c r="A6" s="5" t="s">
        <v>53</v>
      </c>
      <c r="B6" s="5" t="s">
        <v>89</v>
      </c>
      <c r="C6" s="5" t="n">
        <v>3051</v>
      </c>
      <c r="D6" s="5" t="n">
        <v>51</v>
      </c>
      <c r="E6" s="5" t="s">
        <v>90</v>
      </c>
      <c r="F6" s="5" t="s">
        <v>91</v>
      </c>
      <c r="G6" s="5" t="s">
        <v>92</v>
      </c>
      <c r="H6" s="5" t="s">
        <v>93</v>
      </c>
    </row>
    <row r="7" customFormat="false" ht="15" hidden="false" customHeight="false" outlineLevel="0" collapsed="false">
      <c r="A7" s="5" t="s">
        <v>54</v>
      </c>
      <c r="B7" s="5" t="s">
        <v>94</v>
      </c>
      <c r="C7" s="5" t="n">
        <v>3069</v>
      </c>
      <c r="D7" s="5" t="n">
        <v>60</v>
      </c>
      <c r="E7" s="5" t="s">
        <v>95</v>
      </c>
      <c r="F7" s="5" t="s">
        <v>96</v>
      </c>
      <c r="G7" s="5" t="s">
        <v>97</v>
      </c>
      <c r="H7" s="5" t="s">
        <v>98</v>
      </c>
    </row>
    <row r="8" customFormat="false" ht="15" hidden="false" customHeight="false" outlineLevel="0" collapsed="false">
      <c r="A8" s="5" t="s">
        <v>55</v>
      </c>
      <c r="B8" s="5" t="s">
        <v>99</v>
      </c>
      <c r="C8" s="5" t="n">
        <v>3077</v>
      </c>
      <c r="D8" s="5" t="n">
        <v>78</v>
      </c>
      <c r="E8" s="5" t="s">
        <v>100</v>
      </c>
      <c r="F8" s="5" t="s">
        <v>101</v>
      </c>
      <c r="G8" s="5" t="s">
        <v>102</v>
      </c>
      <c r="H8" s="5" t="s">
        <v>103</v>
      </c>
    </row>
    <row r="9" customFormat="false" ht="15" hidden="false" customHeight="false" outlineLevel="0" collapsed="false">
      <c r="A9" s="5" t="s">
        <v>56</v>
      </c>
      <c r="B9" s="5" t="s">
        <v>104</v>
      </c>
      <c r="C9" s="5" t="n">
        <v>3085</v>
      </c>
      <c r="D9" s="5" t="n">
        <v>86</v>
      </c>
      <c r="E9" s="5" t="s">
        <v>105</v>
      </c>
      <c r="F9" s="5" t="s">
        <v>106</v>
      </c>
      <c r="G9" s="5" t="s">
        <v>107</v>
      </c>
      <c r="H9" s="5" t="s">
        <v>108</v>
      </c>
    </row>
    <row r="10" customFormat="false" ht="15" hidden="false" customHeight="false" outlineLevel="0" collapsed="false">
      <c r="A10" s="5" t="s">
        <v>57</v>
      </c>
      <c r="B10" s="5" t="s">
        <v>109</v>
      </c>
      <c r="C10" s="5" t="n">
        <v>3093</v>
      </c>
      <c r="D10" s="5" t="n">
        <v>94</v>
      </c>
      <c r="E10" s="5" t="s">
        <v>110</v>
      </c>
      <c r="F10" s="5" t="s">
        <v>111</v>
      </c>
      <c r="G10" s="5" t="s">
        <v>112</v>
      </c>
      <c r="H10" s="5" t="s">
        <v>113</v>
      </c>
    </row>
    <row r="11" customFormat="false" ht="15" hidden="false" customHeight="false" outlineLevel="0" collapsed="false">
      <c r="A11" s="5" t="s">
        <v>58</v>
      </c>
      <c r="B11" s="5" t="s">
        <v>114</v>
      </c>
      <c r="C11" s="5" t="n">
        <v>3107</v>
      </c>
      <c r="D11" s="5" t="n">
        <v>108</v>
      </c>
      <c r="E11" s="5" t="s">
        <v>115</v>
      </c>
      <c r="F11" s="5" t="s">
        <v>116</v>
      </c>
      <c r="G11" s="5" t="s">
        <v>117</v>
      </c>
      <c r="H11" s="5" t="s">
        <v>118</v>
      </c>
    </row>
    <row r="12" customFormat="false" ht="15" hidden="false" customHeight="false" outlineLevel="0" collapsed="false">
      <c r="A12" s="5" t="s">
        <v>59</v>
      </c>
      <c r="B12" s="5" t="s">
        <v>119</v>
      </c>
      <c r="C12" s="5" t="n">
        <v>3115</v>
      </c>
      <c r="D12" s="5" t="n">
        <v>116</v>
      </c>
      <c r="E12" s="5" t="s">
        <v>120</v>
      </c>
      <c r="F12" s="5" t="s">
        <v>121</v>
      </c>
      <c r="G12" s="5" t="s">
        <v>122</v>
      </c>
      <c r="H12" s="5" t="s">
        <v>123</v>
      </c>
    </row>
    <row r="13" customFormat="false" ht="15" hidden="false" customHeight="false" outlineLevel="0" collapsed="false">
      <c r="A13" s="5" t="s">
        <v>60</v>
      </c>
      <c r="B13" s="5" t="s">
        <v>124</v>
      </c>
      <c r="C13" s="5" t="n">
        <v>3123</v>
      </c>
      <c r="D13" s="5" t="n">
        <v>124</v>
      </c>
      <c r="E13" s="5" t="s">
        <v>125</v>
      </c>
      <c r="F13" s="5" t="s">
        <v>126</v>
      </c>
      <c r="G13" s="5" t="s">
        <v>127</v>
      </c>
      <c r="H13" s="5" t="s">
        <v>128</v>
      </c>
    </row>
    <row r="14" customFormat="false" ht="15" hidden="false" customHeight="false" outlineLevel="0" collapsed="false">
      <c r="A14" s="5" t="s">
        <v>61</v>
      </c>
      <c r="B14" s="5" t="s">
        <v>129</v>
      </c>
      <c r="C14" s="5" t="n">
        <v>3131</v>
      </c>
      <c r="D14" s="5" t="n">
        <v>141</v>
      </c>
      <c r="E14" s="5" t="s">
        <v>130</v>
      </c>
      <c r="F14" s="5" t="s">
        <v>131</v>
      </c>
      <c r="G14" s="5" t="s">
        <v>132</v>
      </c>
      <c r="H14" s="5" t="s">
        <v>133</v>
      </c>
    </row>
    <row r="15" customFormat="false" ht="15" hidden="false" customHeight="false" outlineLevel="0" collapsed="false">
      <c r="A15" s="5" t="s">
        <v>62</v>
      </c>
      <c r="B15" s="5" t="s">
        <v>134</v>
      </c>
      <c r="C15" s="5" t="n">
        <v>3140</v>
      </c>
      <c r="D15" s="5" t="n">
        <v>132</v>
      </c>
      <c r="E15" s="5" t="s">
        <v>135</v>
      </c>
      <c r="F15" s="5" t="s">
        <v>136</v>
      </c>
      <c r="G15" s="5" t="s">
        <v>137</v>
      </c>
      <c r="H15" s="5" t="s">
        <v>138</v>
      </c>
    </row>
    <row r="17" customFormat="false" ht="15" hidden="false" customHeight="false" outlineLevel="0" collapsed="false">
      <c r="A17" s="2" t="s">
        <v>139</v>
      </c>
    </row>
    <row r="18" customFormat="false" ht="15" hidden="false" customHeight="false" outlineLevel="0" collapsed="false">
      <c r="A18" s="3" t="s">
        <v>140</v>
      </c>
    </row>
    <row r="19" customFormat="false" ht="15" hidden="false" customHeight="false" outlineLevel="0" collapsed="false">
      <c r="A19" s="3" t="s">
        <v>141</v>
      </c>
    </row>
    <row r="20" customFormat="false" ht="15" hidden="false" customHeight="false" outlineLevel="0" collapsed="false">
      <c r="A20" s="3" t="s">
        <v>142</v>
      </c>
    </row>
    <row r="21" customFormat="false" ht="15" hidden="false" customHeight="false" outlineLevel="0" collapsed="false">
      <c r="A21" s="3" t="s">
        <v>143</v>
      </c>
    </row>
    <row r="22" customFormat="false" ht="15" hidden="false" customHeight="false" outlineLevel="0" collapsed="false">
      <c r="A22" s="3" t="s">
        <v>144</v>
      </c>
    </row>
    <row r="23" customFormat="false" ht="15" hidden="false" customHeight="false" outlineLevel="0" collapsed="false">
      <c r="A23" s="3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5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4" t="s">
        <v>146</v>
      </c>
      <c r="B1" s="14" t="s">
        <v>147</v>
      </c>
      <c r="C1" s="14" t="s">
        <v>148</v>
      </c>
    </row>
    <row r="2" customFormat="false" ht="15" hidden="false" customHeight="false" outlineLevel="0" collapsed="false">
      <c r="A2" s="5" t="s">
        <v>23</v>
      </c>
      <c r="B2" s="5" t="s">
        <v>149</v>
      </c>
      <c r="C2" s="5" t="s">
        <v>150</v>
      </c>
    </row>
    <row r="3" customFormat="false" ht="15" hidden="false" customHeight="false" outlineLevel="0" collapsed="false">
      <c r="A3" s="5" t="s">
        <v>24</v>
      </c>
      <c r="B3" s="5" t="s">
        <v>151</v>
      </c>
      <c r="C3" s="5" t="s">
        <v>152</v>
      </c>
    </row>
    <row r="4" customFormat="false" ht="15" hidden="false" customHeight="false" outlineLevel="0" collapsed="false">
      <c r="A4" s="5" t="s">
        <v>25</v>
      </c>
      <c r="B4" s="5" t="s">
        <v>153</v>
      </c>
      <c r="C4" s="5" t="s">
        <v>154</v>
      </c>
    </row>
    <row r="5" customFormat="false" ht="15" hidden="false" customHeight="false" outlineLevel="0" collapsed="false">
      <c r="A5" s="5" t="s">
        <v>26</v>
      </c>
      <c r="B5" s="5" t="s">
        <v>155</v>
      </c>
      <c r="C5" s="5" t="s">
        <v>156</v>
      </c>
    </row>
    <row r="6" customFormat="false" ht="15" hidden="false" customHeight="false" outlineLevel="0" collapsed="false">
      <c r="A6" s="5" t="s">
        <v>27</v>
      </c>
      <c r="B6" s="5" t="s">
        <v>157</v>
      </c>
      <c r="C6" s="5" t="s">
        <v>158</v>
      </c>
    </row>
    <row r="7" customFormat="false" ht="15" hidden="false" customHeight="false" outlineLevel="0" collapsed="false">
      <c r="A7" s="5" t="s">
        <v>28</v>
      </c>
      <c r="B7" s="5" t="s">
        <v>159</v>
      </c>
      <c r="C7" s="5" t="s">
        <v>156</v>
      </c>
    </row>
    <row r="8" customFormat="false" ht="15" hidden="false" customHeight="false" outlineLevel="0" collapsed="false">
      <c r="A8" s="5" t="s">
        <v>29</v>
      </c>
      <c r="B8" s="5" t="s">
        <v>160</v>
      </c>
      <c r="C8" s="5" t="s">
        <v>161</v>
      </c>
    </row>
    <row r="9" customFormat="false" ht="15" hidden="false" customHeight="false" outlineLevel="0" collapsed="false">
      <c r="A9" s="5" t="s">
        <v>30</v>
      </c>
      <c r="B9" s="5" t="s">
        <v>162</v>
      </c>
      <c r="C9" s="5" t="s">
        <v>163</v>
      </c>
    </row>
    <row r="10" customFormat="false" ht="15" hidden="false" customHeight="false" outlineLevel="0" collapsed="false">
      <c r="A10" s="5" t="s">
        <v>31</v>
      </c>
      <c r="B10" s="5" t="s">
        <v>164</v>
      </c>
      <c r="C10" s="5" t="s">
        <v>165</v>
      </c>
    </row>
    <row r="11" customFormat="false" ht="15" hidden="false" customHeight="false" outlineLevel="0" collapsed="false">
      <c r="A11" s="5" t="s">
        <v>32</v>
      </c>
      <c r="B11" s="5" t="s">
        <v>166</v>
      </c>
      <c r="C11" s="5" t="s">
        <v>167</v>
      </c>
    </row>
    <row r="12" customFormat="false" ht="15" hidden="false" customHeight="false" outlineLevel="0" collapsed="false">
      <c r="A12" s="5" t="s">
        <v>33</v>
      </c>
      <c r="B12" s="5" t="s">
        <v>168</v>
      </c>
      <c r="C12" s="5" t="s">
        <v>169</v>
      </c>
    </row>
    <row r="13" customFormat="false" ht="15" hidden="false" customHeight="false" outlineLevel="0" collapsed="false">
      <c r="A13" s="5" t="s">
        <v>34</v>
      </c>
      <c r="B13" s="5" t="s">
        <v>170</v>
      </c>
      <c r="C13" s="5" t="s">
        <v>171</v>
      </c>
    </row>
    <row r="14" customFormat="false" ht="15" hidden="false" customHeight="false" outlineLevel="0" collapsed="false">
      <c r="A14" s="5" t="s">
        <v>35</v>
      </c>
      <c r="B14" s="5" t="s">
        <v>172</v>
      </c>
      <c r="C14" s="5" t="s">
        <v>173</v>
      </c>
    </row>
    <row r="15" customFormat="false" ht="15" hidden="false" customHeight="false" outlineLevel="0" collapsed="false">
      <c r="A15" s="5" t="s">
        <v>36</v>
      </c>
      <c r="B15" s="5" t="s">
        <v>174</v>
      </c>
      <c r="C15" s="5" t="s">
        <v>175</v>
      </c>
    </row>
    <row r="16" customFormat="false" ht="15" hidden="false" customHeight="false" outlineLevel="0" collapsed="false">
      <c r="A16" s="5" t="s">
        <v>37</v>
      </c>
      <c r="B16" s="5" t="s">
        <v>176</v>
      </c>
      <c r="C16" s="5" t="s">
        <v>177</v>
      </c>
    </row>
    <row r="17" customFormat="false" ht="15" hidden="false" customHeight="false" outlineLevel="0" collapsed="false">
      <c r="A17" s="5" t="s">
        <v>38</v>
      </c>
      <c r="B17" s="5" t="s">
        <v>178</v>
      </c>
      <c r="C17" s="5" t="s">
        <v>179</v>
      </c>
    </row>
    <row r="18" customFormat="false" ht="15" hidden="false" customHeight="false" outlineLevel="0" collapsed="false">
      <c r="A18" s="5" t="s">
        <v>39</v>
      </c>
      <c r="B18" s="5" t="s">
        <v>180</v>
      </c>
      <c r="C18" s="5" t="s">
        <v>181</v>
      </c>
    </row>
    <row r="19" customFormat="false" ht="15" hidden="false" customHeight="false" outlineLevel="0" collapsed="false">
      <c r="A19" s="5" t="s">
        <v>40</v>
      </c>
      <c r="B19" s="5" t="s">
        <v>182</v>
      </c>
      <c r="C19" s="5" t="s">
        <v>183</v>
      </c>
    </row>
    <row r="20" customFormat="false" ht="15" hidden="false" customHeight="false" outlineLevel="0" collapsed="false">
      <c r="A20" s="5" t="s">
        <v>41</v>
      </c>
      <c r="B20" s="5" t="s">
        <v>184</v>
      </c>
      <c r="C20" s="5" t="s">
        <v>185</v>
      </c>
    </row>
    <row r="21" customFormat="false" ht="15" hidden="false" customHeight="false" outlineLevel="0" collapsed="false">
      <c r="A21" s="5" t="s">
        <v>42</v>
      </c>
      <c r="B21" s="5" t="s">
        <v>186</v>
      </c>
      <c r="C21" s="5" t="s">
        <v>187</v>
      </c>
    </row>
    <row r="22" customFormat="false" ht="15" hidden="false" customHeight="false" outlineLevel="0" collapsed="false">
      <c r="A22" s="5" t="s">
        <v>43</v>
      </c>
      <c r="B22" s="5" t="s">
        <v>188</v>
      </c>
      <c r="C22" s="5" t="s">
        <v>189</v>
      </c>
    </row>
    <row r="23" customFormat="false" ht="15" hidden="false" customHeight="false" outlineLevel="0" collapsed="false">
      <c r="A23" s="5" t="s">
        <v>44</v>
      </c>
      <c r="B23" s="5" t="s">
        <v>190</v>
      </c>
      <c r="C23" s="5" t="s">
        <v>191</v>
      </c>
    </row>
    <row r="24" customFormat="false" ht="15" hidden="false" customHeight="false" outlineLevel="0" collapsed="false">
      <c r="A24" s="5" t="s">
        <v>45</v>
      </c>
      <c r="B24" s="5" t="s">
        <v>192</v>
      </c>
      <c r="C24" s="5" t="s">
        <v>193</v>
      </c>
    </row>
    <row r="25" customFormat="false" ht="15" hidden="false" customHeight="false" outlineLevel="0" collapsed="false">
      <c r="A25" s="5" t="s">
        <v>46</v>
      </c>
      <c r="B25" s="5" t="s">
        <v>194</v>
      </c>
      <c r="C25" s="5" t="s">
        <v>195</v>
      </c>
    </row>
    <row r="26" customFormat="false" ht="15" hidden="false" customHeight="false" outlineLevel="0" collapsed="false">
      <c r="A26" s="5" t="s">
        <v>47</v>
      </c>
      <c r="B26" s="5" t="s">
        <v>196</v>
      </c>
      <c r="C26" s="5" t="s">
        <v>197</v>
      </c>
    </row>
    <row r="27" customFormat="false" ht="15" hidden="false" customHeight="false" outlineLevel="0" collapsed="false">
      <c r="A27" s="5" t="s">
        <v>48</v>
      </c>
      <c r="B27" s="5" t="s">
        <v>198</v>
      </c>
      <c r="C27" s="5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2026-10-07T08:17:02Z</dcterms:created>
  <dc:creator>openpyxl</dc:creator>
  <dc:description/>
  <dc:language>en-US</dc:language>
  <cp:lastModifiedBy/>
  <dcterms:modified xsi:type="dcterms:W3CDTF">2026-10-07T08:17:02Z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